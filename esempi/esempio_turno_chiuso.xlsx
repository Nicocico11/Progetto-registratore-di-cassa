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ova Cond Light"/>
      <family val="2"/>
      <color theme="1"/>
      <sz val="11"/>
    </font>
    <font>
      <name val="Arial Nova Cond Light"/>
      <family val="2"/>
      <b val="1"/>
      <color theme="1"/>
      <sz val="11"/>
    </font>
    <font>
      <name val="Calibri"/>
      <family val="2"/>
      <b val="1"/>
      <color rgb="FFFF0000"/>
      <sz val="11"/>
      <scheme val="minor"/>
    </font>
    <font>
      <name val="Arial Nova Cond Light"/>
      <family val="2"/>
      <b val="1"/>
      <sz val="11"/>
    </font>
    <font>
      <name val="Arial Nova Cond Light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2" fillId="0" borderId="1" applyProtection="1" pivotButton="0" quotePrefix="0" xfId="0">
      <protection locked="0" hidden="0"/>
    </xf>
    <xf numFmtId="0" fontId="2" fillId="2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left"/>
      <protection locked="0" hidden="0"/>
    </xf>
    <xf numFmtId="0" fontId="2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2" fontId="2" fillId="0" borderId="1" applyProtection="1" pivotButton="0" quotePrefix="0" xfId="0">
      <protection locked="0" hidden="0"/>
    </xf>
    <xf numFmtId="0" fontId="3" fillId="2" borderId="1" applyAlignment="1" pivotButton="0" quotePrefix="0" xfId="0">
      <alignment horizontal="left"/>
    </xf>
    <xf numFmtId="2" fontId="2" fillId="0" borderId="10" applyProtection="1" pivotButton="0" quotePrefix="0" xfId="0">
      <protection locked="0" hidden="0"/>
    </xf>
    <xf numFmtId="2" fontId="2" fillId="0" borderId="11" applyProtection="1" pivotButton="0" quotePrefix="0" xfId="0">
      <protection locked="0" hidden="0"/>
    </xf>
    <xf numFmtId="2" fontId="2" fillId="0" borderId="13" applyProtection="1" pivotButton="0" quotePrefix="0" xfId="0">
      <protection locked="0" hidden="0"/>
    </xf>
    <xf numFmtId="2" fontId="2" fillId="0" borderId="2" applyProtection="1" pivotButton="0" quotePrefix="0" xfId="0">
      <protection locked="0" hidden="0"/>
    </xf>
    <xf numFmtId="2" fontId="1" fillId="2" borderId="1" applyAlignment="1" applyProtection="1" pivotButton="0" quotePrefix="0" xfId="0">
      <alignment horizontal="left"/>
      <protection locked="1" hidden="1"/>
    </xf>
    <xf numFmtId="2" fontId="2" fillId="2" borderId="1" applyProtection="1" pivotButton="0" quotePrefix="0" xfId="0">
      <protection locked="1" hidden="1"/>
    </xf>
    <xf numFmtId="0" fontId="3" fillId="2" borderId="1" applyProtection="1" pivotButton="0" quotePrefix="0" xfId="0">
      <protection locked="0" hidden="0"/>
    </xf>
    <xf numFmtId="2" fontId="2" fillId="0" borderId="13" pivotButton="0" quotePrefix="0" xfId="0"/>
    <xf numFmtId="2" fontId="2" fillId="0" borderId="15" applyProtection="1" pivotButton="0" quotePrefix="0" xfId="0">
      <protection locked="0" hidden="0"/>
    </xf>
    <xf numFmtId="2" fontId="2" fillId="0" borderId="16" applyProtection="1" pivotButton="0" quotePrefix="0" xfId="0">
      <protection locked="0" hidden="0"/>
    </xf>
    <xf numFmtId="2" fontId="3" fillId="3" borderId="14" pivotButton="0" quotePrefix="0" xfId="0"/>
    <xf numFmtId="2" fontId="2" fillId="0" borderId="5" applyProtection="1" pivotButton="0" quotePrefix="0" xfId="0">
      <protection locked="0" hidden="0"/>
    </xf>
    <xf numFmtId="2" fontId="3" fillId="2" borderId="1" applyAlignment="1" applyProtection="1" pivotButton="0" quotePrefix="0" xfId="0">
      <alignment horizontal="left"/>
      <protection locked="1" hidden="1"/>
    </xf>
    <xf numFmtId="0" fontId="3" fillId="2" borderId="2" applyProtection="1" pivotButton="0" quotePrefix="0" xfId="0">
      <protection locked="0" hidden="0"/>
    </xf>
    <xf numFmtId="2" fontId="2" fillId="0" borderId="19" applyAlignment="1" applyProtection="1" pivotButton="0" quotePrefix="0" xfId="0">
      <alignment horizontal="center"/>
      <protection locked="0" hidden="0"/>
    </xf>
    <xf numFmtId="2" fontId="2" fillId="2" borderId="20" applyAlignment="1" applyProtection="1" pivotButton="0" quotePrefix="0" xfId="0">
      <alignment horizontal="center"/>
      <protection locked="1" hidden="1"/>
    </xf>
    <xf numFmtId="2" fontId="2" fillId="2" borderId="20" applyAlignment="1" pivotButton="0" quotePrefix="0" xfId="0">
      <alignment horizontal="center"/>
    </xf>
    <xf numFmtId="2" fontId="2" fillId="0" borderId="20" applyAlignment="1" applyProtection="1" pivotButton="0" quotePrefix="0" xfId="0">
      <alignment horizontal="center"/>
      <protection locked="0" hidden="0"/>
    </xf>
    <xf numFmtId="2" fontId="2" fillId="0" borderId="16" applyAlignment="1" applyProtection="1" pivotButton="0" quotePrefix="0" xfId="0">
      <alignment horizontal="center"/>
      <protection locked="0" hidden="1"/>
    </xf>
    <xf numFmtId="2" fontId="2" fillId="2" borderId="16" applyAlignment="1" applyProtection="1" pivotButton="0" quotePrefix="0" xfId="0">
      <alignment horizontal="center"/>
      <protection locked="1" hidden="1"/>
    </xf>
    <xf numFmtId="2" fontId="5" fillId="3" borderId="14" applyAlignment="1" applyProtection="1" pivotButton="0" quotePrefix="0" xfId="0">
      <alignment horizontal="center"/>
      <protection locked="1" hidden="1"/>
    </xf>
    <xf numFmtId="164" fontId="3" fillId="0" borderId="22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left"/>
      <protection locked="0" hidden="0"/>
    </xf>
    <xf numFmtId="0" fontId="0" fillId="0" borderId="1" applyProtection="1" pivotButton="0" quotePrefix="0" xfId="0">
      <protection locked="0" hidden="0"/>
    </xf>
    <xf numFmtId="2" fontId="6" fillId="0" borderId="20" applyAlignment="1" applyProtection="1" pivotButton="0" quotePrefix="0" xfId="0">
      <alignment horizontal="center"/>
      <protection locked="1" hidden="1"/>
    </xf>
    <xf numFmtId="0" fontId="3" fillId="2" borderId="2" applyAlignment="1" applyProtection="1" pivotButton="0" quotePrefix="0" xfId="0">
      <alignment horizontal="center"/>
      <protection locked="0" hidden="0"/>
    </xf>
    <xf numFmtId="0" fontId="2" fillId="0" borderId="17" applyAlignment="1" applyProtection="1" pivotButton="0" quotePrefix="0" xfId="0">
      <alignment horizontal="left"/>
      <protection locked="0" hidden="0"/>
    </xf>
    <xf numFmtId="0" fontId="2" fillId="0" borderId="18" applyAlignment="1" applyProtection="1" pivotButton="0" quotePrefix="0" xfId="0">
      <alignment horizontal="left"/>
      <protection locked="0" hidden="0"/>
    </xf>
    <xf numFmtId="0" fontId="2" fillId="2" borderId="10" applyAlignment="1" applyProtection="1" pivotButton="0" quotePrefix="0" xfId="0">
      <alignment horizontal="left"/>
      <protection locked="0" hidden="0"/>
    </xf>
    <xf numFmtId="0" fontId="2" fillId="2" borderId="1" applyAlignment="1" applyProtection="1" pivotButton="0" quotePrefix="0" xfId="0">
      <alignment horizontal="left"/>
      <protection locked="0" hidden="0"/>
    </xf>
    <xf numFmtId="0" fontId="3" fillId="2" borderId="1" applyAlignment="1" applyProtection="1" pivotButton="0" quotePrefix="0" xfId="0">
      <alignment horizontal="center"/>
      <protection locked="0" hidden="0"/>
    </xf>
    <xf numFmtId="0" fontId="3" fillId="2" borderId="8" applyAlignment="1" applyProtection="1" pivotButton="0" quotePrefix="0" xfId="0">
      <alignment horizontal="center"/>
      <protection locked="0" hidden="0"/>
    </xf>
    <xf numFmtId="0" fontId="3" fillId="2" borderId="12" applyAlignment="1" applyProtection="1" pivotButton="0" quotePrefix="0" xfId="0">
      <alignment horizontal="center"/>
      <protection locked="0" hidden="0"/>
    </xf>
    <xf numFmtId="0" fontId="3" fillId="2" borderId="9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4" fillId="0" borderId="0" applyAlignment="1" applyProtection="1" pivotButton="0" quotePrefix="0" xfId="0">
      <alignment horizontal="lef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2" applyAlignment="1" applyProtection="1" pivotButton="0" quotePrefix="0" xfId="0">
      <alignment horizontal="center"/>
      <protection locked="0" hidden="0"/>
    </xf>
    <xf numFmtId="0" fontId="2" fillId="0" borderId="4" applyAlignment="1" applyProtection="1" pivotButton="0" quotePrefix="0" xfId="0">
      <alignment horizontal="left"/>
      <protection locked="0" hidden="0"/>
    </xf>
    <xf numFmtId="0" fontId="3" fillId="2" borderId="11" applyAlignment="1" applyProtection="1" pivotButton="0" quotePrefix="0" xfId="0">
      <alignment horizontal="left"/>
      <protection locked="0" hidden="0"/>
    </xf>
    <xf numFmtId="0" fontId="3" fillId="2" borderId="13" applyAlignment="1" applyProtection="1" pivotButton="0" quotePrefix="0" xfId="0">
      <alignment horizontal="left"/>
      <protection locked="0" hidden="0"/>
    </xf>
    <xf numFmtId="0" fontId="2" fillId="0" borderId="10" applyAlignment="1" applyProtection="1" pivotButton="0" quotePrefix="0" xfId="0">
      <alignment horizontal="left"/>
      <protection locked="0" hidden="0"/>
    </xf>
    <xf numFmtId="0" fontId="2" fillId="0" borderId="1" applyAlignment="1" applyProtection="1" pivotButton="0" quotePrefix="0" xfId="0">
      <alignment horizontal="left"/>
      <protection locked="0" hidden="0"/>
    </xf>
    <xf numFmtId="0" fontId="3" fillId="2" borderId="15" applyAlignment="1" applyProtection="1" pivotButton="0" quotePrefix="0" xfId="0">
      <alignment horizontal="left"/>
      <protection locked="0" hidden="0"/>
    </xf>
    <xf numFmtId="0" fontId="2" fillId="0" borderId="7" applyAlignment="1" applyProtection="1" pivotButton="0" quotePrefix="0" xfId="0">
      <alignment horizontal="left"/>
      <protection locked="0" hidden="0"/>
    </xf>
    <xf numFmtId="0" fontId="3" fillId="2" borderId="10" applyAlignment="1" applyProtection="1" pivotButton="0" quotePrefix="0" xfId="0">
      <alignment horizontal="left"/>
      <protection locked="0" hidden="0"/>
    </xf>
    <xf numFmtId="0" fontId="3" fillId="2" borderId="1" applyAlignment="1" applyProtection="1" pivotButton="0" quotePrefix="0" xfId="0">
      <alignment horizontal="left"/>
      <protection locked="0" hidden="0"/>
    </xf>
    <xf numFmtId="0" fontId="3" fillId="2" borderId="5" applyAlignment="1" applyProtection="1" pivotButton="0" quotePrefix="0" xfId="0">
      <alignment horizontal="left"/>
      <protection locked="0" hidden="0"/>
    </xf>
    <xf numFmtId="0" fontId="6" fillId="0" borderId="21" applyAlignment="1" applyProtection="1" pivotButton="0" quotePrefix="0" xfId="0">
      <alignment horizontal="left"/>
      <protection locked="0" hidden="0"/>
    </xf>
    <xf numFmtId="0" fontId="6" fillId="0" borderId="6" applyAlignment="1" applyProtection="1" pivotButton="0" quotePrefix="0" xfId="0">
      <alignment horizontal="left"/>
      <protection locked="0" hidden="0"/>
    </xf>
    <xf numFmtId="0" fontId="6" fillId="0" borderId="7" applyAlignment="1" applyProtection="1" pivotButton="0" quotePrefix="0" xfId="0">
      <alignment horizontal="left"/>
      <protection locked="0" hidden="0"/>
    </xf>
    <xf numFmtId="0" fontId="2" fillId="0" borderId="21" applyAlignment="1" applyProtection="1" pivotButton="0" quotePrefix="0" xfId="0">
      <alignment horizontal="left"/>
      <protection locked="0" hidden="0"/>
    </xf>
    <xf numFmtId="0" fontId="2" fillId="0" borderId="6" applyAlignment="1" applyProtection="1" pivotButton="0" quotePrefix="0" xfId="0">
      <alignment horizontal="left"/>
      <protection locked="0" hidden="0"/>
    </xf>
    <xf numFmtId="0" fontId="2" fillId="0" borderId="5" applyAlignment="1" applyProtection="1" pivotButton="0" quotePrefix="0" xfId="0">
      <alignment horizontal="center"/>
      <protection locked="0" hidden="0"/>
    </xf>
    <xf numFmtId="0" fontId="2" fillId="0" borderId="6" applyAlignment="1" applyProtection="1" pivotButton="0" quotePrefix="0" xfId="0">
      <alignment horizontal="center"/>
      <protection locked="0" hidden="0"/>
    </xf>
    <xf numFmtId="0" fontId="2" fillId="0" borderId="7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2" fontId="2" fillId="2" borderId="10" applyAlignment="1" applyProtection="1" pivotButton="0" quotePrefix="0" xfId="0">
      <alignment horizontal="left"/>
      <protection locked="0" hidden="0"/>
    </xf>
    <xf numFmtId="2" fontId="2" fillId="2" borderId="1" applyAlignment="1" applyProtection="1" pivotButton="0" quotePrefix="0" xfId="0">
      <alignment horizontal="left"/>
      <protection locked="0" hidden="0"/>
    </xf>
    <xf numFmtId="0" fontId="3" fillId="2" borderId="4" applyAlignment="1" applyProtection="1" pivotButton="0" quotePrefix="0" xfId="0">
      <alignment horizontal="center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0" fontId="2" fillId="0" borderId="4" applyAlignment="1" applyProtection="1" pivotButton="0" quotePrefix="0" xfId="0">
      <alignment horizontal="center"/>
      <protection locked="0" hidden="0"/>
    </xf>
    <xf numFmtId="0" fontId="1" fillId="0" borderId="1" applyAlignment="1" applyProtection="1" pivotButton="0" quotePrefix="0" xfId="0">
      <alignment horizontal="center"/>
      <protection locked="0" hidden="0"/>
    </xf>
    <xf numFmtId="0" fontId="3" fillId="0" borderId="1" applyAlignment="1" applyProtection="1" pivotButton="0" quotePrefix="0" xfId="0">
      <alignment horizontal="center"/>
      <protection locked="0" hidden="0"/>
    </xf>
    <xf numFmtId="21" fontId="3" fillId="0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3" fillId="2" borderId="5" applyAlignment="1" applyProtection="1" pivotButton="0" quotePrefix="0" xfId="0">
      <alignment horizontal="center"/>
      <protection locked="0" hidden="0"/>
    </xf>
    <xf numFmtId="0" fontId="3" fillId="2" borderId="6" applyAlignment="1" applyProtection="1" pivotButton="0" quotePrefix="0" xfId="0">
      <alignment horizontal="center"/>
      <protection locked="0" hidden="0"/>
    </xf>
    <xf numFmtId="0" fontId="3" fillId="2" borderId="7" applyAlignment="1" applyProtection="1" pivotButton="0" quotePrefix="0" xfId="0">
      <alignment horizontal="center"/>
      <protection locked="0" hidden="0"/>
    </xf>
    <xf numFmtId="0" fontId="2" fillId="2" borderId="21" applyAlignment="1" applyProtection="1" pivotButton="0" quotePrefix="0" xfId="0">
      <alignment horizontal="left"/>
      <protection locked="0" hidden="0"/>
    </xf>
    <xf numFmtId="0" fontId="2" fillId="2" borderId="6" applyAlignment="1" applyProtection="1" pivotButton="0" quotePrefix="0" xfId="0">
      <alignment horizontal="left"/>
      <protection locked="0" hidden="0"/>
    </xf>
    <xf numFmtId="0" fontId="2" fillId="2" borderId="7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left"/>
    </xf>
    <xf numFmtId="0" fontId="3" fillId="0" borderId="4" applyAlignment="1" applyProtection="1" pivotButton="0" quotePrefix="0" xfId="0">
      <alignment horizontal="center"/>
      <protection locked="0" hidden="0"/>
    </xf>
    <xf numFmtId="14" fontId="3" fillId="0" borderId="1" applyAlignment="1" applyProtection="1" pivotButton="0" quotePrefix="0" xfId="0">
      <alignment horizont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0" borderId="10" applyAlignment="1" applyProtection="1" pivotButton="0" quotePrefix="0" xfId="0">
      <alignment horizontal="left"/>
      <protection locked="0" hidden="0"/>
    </xf>
    <xf numFmtId="0" fontId="3" fillId="2" borderId="35" applyAlignment="1" applyProtection="1" pivotButton="0" quotePrefix="0" xfId="0">
      <alignment horizont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6" pivotButton="0" quotePrefix="0" xfId="0"/>
    <xf numFmtId="0" fontId="0" fillId="0" borderId="7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tabSelected="1" workbookViewId="0">
      <selection activeCell="A39" sqref="A39:O39"/>
    </sheetView>
  </sheetViews>
  <sheetFormatPr baseColWidth="8" defaultRowHeight="15"/>
  <cols>
    <col width="9.140625" customWidth="1" style="5" min="1" max="3"/>
    <col width="12.7109375" bestFit="1" customWidth="1" style="5" min="4" max="4"/>
    <col width="9.140625" customWidth="1" style="5" min="5" max="22"/>
    <col width="12.42578125" customWidth="1" style="5" min="23" max="23"/>
    <col width="9.140625" customWidth="1" style="5" min="24" max="16384"/>
  </cols>
  <sheetData>
    <row r="1" ht="15.75" customHeight="1" thickBot="1">
      <c r="A1" s="33" t="inlineStr">
        <is>
          <t>RIEPILOGO</t>
        </is>
      </c>
      <c r="B1" s="85" t="n"/>
      <c r="C1" s="86" t="n"/>
      <c r="D1" s="21" t="inlineStr">
        <is>
          <t>IMPORTI</t>
        </is>
      </c>
      <c r="E1" s="38" t="inlineStr">
        <is>
          <t>DANEA</t>
        </is>
      </c>
      <c r="F1" s="87" t="n"/>
      <c r="G1" s="88" t="n"/>
      <c r="H1" s="14" t="n"/>
      <c r="I1" s="38" t="inlineStr">
        <is>
          <t>OPT</t>
        </is>
      </c>
      <c r="J1" s="87" t="n"/>
      <c r="K1" s="87" t="n"/>
      <c r="L1" s="87" t="n"/>
      <c r="M1" s="87" t="n"/>
      <c r="N1" s="87" t="n"/>
      <c r="O1" s="88" t="n"/>
    </row>
    <row r="2">
      <c r="A2" s="34" t="inlineStr">
        <is>
          <t>TOTALE CARBURANTI</t>
        </is>
      </c>
      <c r="B2" s="89" t="n"/>
      <c r="C2" s="90" t="n"/>
      <c r="D2" s="22" t="n"/>
      <c r="E2" s="53" t="inlineStr">
        <is>
          <t>2x Red Bull</t>
        </is>
      </c>
      <c r="F2" s="87" t="n"/>
      <c r="G2" s="88" t="n"/>
      <c r="H2" s="6" t="n">
        <v>6</v>
      </c>
      <c r="I2" s="6" t="n"/>
      <c r="J2" s="6" t="n"/>
      <c r="K2" s="6" t="n"/>
      <c r="L2" s="6" t="n"/>
      <c r="M2" s="6" t="n"/>
      <c r="N2" s="6" t="n"/>
      <c r="O2" s="6" t="n"/>
    </row>
    <row r="3">
      <c r="A3" s="36" t="inlineStr">
        <is>
          <t>CREDITI RISCOSSI</t>
        </is>
      </c>
      <c r="B3" s="87" t="n"/>
      <c r="C3" s="88" t="n"/>
      <c r="D3" s="23">
        <f>O8+O9+O10+O11+O12+O13+O14+O15</f>
        <v/>
      </c>
      <c r="E3" s="53" t="inlineStr">
        <is>
          <t>2x Mars</t>
        </is>
      </c>
      <c r="F3" s="87" t="n"/>
      <c r="G3" s="88" t="n"/>
      <c r="H3" s="6" t="n">
        <v>4</v>
      </c>
      <c r="I3" s="6" t="n"/>
      <c r="J3" s="6" t="n"/>
      <c r="K3" s="6" t="n"/>
      <c r="L3" s="6" t="n"/>
      <c r="M3" s="6" t="n"/>
      <c r="N3" s="6" t="n"/>
      <c r="O3" s="6" t="n"/>
    </row>
    <row r="4">
      <c r="A4" s="36" t="inlineStr">
        <is>
          <t>DANEA</t>
        </is>
      </c>
      <c r="B4" s="87" t="n"/>
      <c r="C4" s="88" t="n"/>
      <c r="D4" s="23">
        <f>H2+H3+H4+H5+H6+H7+H8+H9+H10+H11+H12+H13+H14+H15+H16+H17+H18+H19+H20+H21+H22+H23+H24+H25+H26+H27+H28+H29+H34+H35</f>
        <v/>
      </c>
      <c r="E4" s="53" t="n"/>
      <c r="F4" s="87" t="n"/>
      <c r="G4" s="88" t="n"/>
      <c r="H4" s="6" t="n"/>
      <c r="I4" s="38" t="inlineStr">
        <is>
          <t>SCONTI CARBURANTE</t>
        </is>
      </c>
      <c r="J4" s="87" t="n"/>
      <c r="K4" s="87" t="n"/>
      <c r="L4" s="87" t="n"/>
      <c r="M4" s="87" t="n"/>
      <c r="N4" s="87" t="n"/>
      <c r="O4" s="88" t="n"/>
    </row>
    <row r="5">
      <c r="A5" s="36" t="inlineStr">
        <is>
          <t>TELEFAX</t>
        </is>
      </c>
      <c r="B5" s="87" t="n"/>
      <c r="C5" s="88" t="n"/>
      <c r="D5" s="23">
        <f>A21+B21+C21+D21+A22+B22+C22+D22+A23+B23+C24+D23+C23+D24+B24+A24+A25+B25+C25+D25</f>
        <v/>
      </c>
      <c r="E5" s="53" t="n"/>
      <c r="F5" s="87" t="n"/>
      <c r="G5" s="88" t="n"/>
      <c r="H5" s="6" t="n"/>
      <c r="I5" s="6" t="n">
        <v>0.1</v>
      </c>
      <c r="J5" s="6" t="n"/>
      <c r="K5" s="6" t="n"/>
      <c r="L5" s="6" t="n"/>
      <c r="M5" s="6" t="n"/>
      <c r="N5" s="6" t="n"/>
      <c r="O5" s="6" t="n"/>
      <c r="Q5" s="65" t="n"/>
      <c r="R5" s="5" t="n"/>
      <c r="S5" s="5" t="n"/>
      <c r="T5" s="5" t="n"/>
      <c r="U5" s="5" t="n"/>
      <c r="V5" s="5" t="n"/>
      <c r="W5" s="5" t="n"/>
    </row>
    <row r="6">
      <c r="A6" s="36" t="inlineStr">
        <is>
          <t>RICARICHE STAR Q8</t>
        </is>
      </c>
      <c r="B6" s="87" t="n"/>
      <c r="C6" s="88" t="n"/>
      <c r="D6" s="23">
        <f>E31+F31+G31+H31+E32+F32+G32+H32+E33+F33+G33+H33</f>
        <v/>
      </c>
      <c r="E6" s="53" t="n"/>
      <c r="F6" s="87" t="n"/>
      <c r="G6" s="88" t="n"/>
      <c r="H6" s="6" t="n"/>
      <c r="I6" s="6" t="n"/>
      <c r="J6" s="6" t="n"/>
      <c r="K6" s="6" t="n"/>
      <c r="L6" s="6" t="n"/>
      <c r="M6" s="6" t="n"/>
      <c r="N6" s="6" t="n"/>
      <c r="O6" s="6" t="n"/>
      <c r="Q6" s="66" t="inlineStr">
        <is>
          <t>ISTRUZIONE COMPILAZIONE TURNO</t>
        </is>
      </c>
      <c r="R6" s="5" t="n"/>
      <c r="S6" s="5" t="n"/>
      <c r="T6" s="5" t="n"/>
      <c r="U6" s="5" t="n"/>
      <c r="V6" s="5" t="n"/>
      <c r="W6" s="5" t="n"/>
    </row>
    <row r="7" ht="15.75" customHeight="1" thickBot="1">
      <c r="A7" s="50" t="inlineStr">
        <is>
          <t>AVANZO CASSA PRECEDENTE</t>
        </is>
      </c>
      <c r="B7" s="87" t="n"/>
      <c r="C7" s="88" t="n"/>
      <c r="D7" s="26" t="n">
        <v>160</v>
      </c>
      <c r="E7" s="53" t="n"/>
      <c r="F7" s="87" t="n"/>
      <c r="G7" s="88" t="n"/>
      <c r="H7" s="6" t="n"/>
      <c r="I7" s="38" t="inlineStr">
        <is>
          <t>CREDITI CLIENTI</t>
        </is>
      </c>
      <c r="J7" s="87" t="n"/>
      <c r="K7" s="87" t="n"/>
      <c r="L7" s="88" t="n"/>
      <c r="M7" s="38" t="inlineStr">
        <is>
          <t>CREDITI RISCOSSI</t>
        </is>
      </c>
      <c r="N7" s="87" t="n"/>
      <c r="O7" s="88" t="n"/>
      <c r="Q7" s="42" t="inlineStr">
        <is>
          <t>TUTTE LE CASELLE ROSA NON SONO MODIFICABILI</t>
        </is>
      </c>
      <c r="R7" s="5" t="n"/>
      <c r="S7" s="5" t="n"/>
      <c r="T7" s="5" t="n"/>
      <c r="U7" s="5" t="n"/>
      <c r="V7" s="5" t="n"/>
      <c r="W7" s="5" t="n"/>
    </row>
    <row r="8" ht="15.75" customHeight="1" thickBot="1">
      <c r="A8" s="48" t="inlineStr">
        <is>
          <t>TOTALE 1</t>
        </is>
      </c>
      <c r="B8" s="91" t="n"/>
      <c r="C8" s="92" t="n"/>
      <c r="D8" s="28">
        <f>D2+D3+D4+D5+D6+D7</f>
        <v/>
      </c>
      <c r="E8" s="53" t="n"/>
      <c r="F8" s="87" t="n"/>
      <c r="G8" s="88" t="n"/>
      <c r="H8" s="6" t="n"/>
      <c r="I8" s="45" t="n"/>
      <c r="J8" s="87" t="n"/>
      <c r="K8" s="88" t="n"/>
      <c r="L8" s="6" t="n"/>
      <c r="M8" s="45" t="n"/>
      <c r="N8" s="88" t="n"/>
      <c r="O8" s="6" t="n"/>
      <c r="Q8" s="42" t="inlineStr">
        <is>
          <t xml:space="preserve">DOVETE SOLO COMPILARE GLI SPAZI BIANCHI  </t>
        </is>
      </c>
      <c r="R8" s="5" t="n"/>
      <c r="S8" s="5" t="n"/>
      <c r="T8" s="5" t="n"/>
      <c r="U8" s="5" t="n"/>
      <c r="V8" s="5" t="n"/>
      <c r="W8" s="5" t="n"/>
    </row>
    <row r="9">
      <c r="A9" s="34" t="inlineStr">
        <is>
          <t xml:space="preserve">CHIUSURA PETROLIFERE PAX </t>
        </is>
      </c>
      <c r="B9" s="89" t="n"/>
      <c r="C9" s="90" t="n"/>
      <c r="D9" s="22" t="n"/>
      <c r="E9" s="53" t="n"/>
      <c r="F9" s="87" t="n"/>
      <c r="G9" s="88" t="n"/>
      <c r="H9" s="6" t="n"/>
      <c r="I9" s="45" t="n"/>
      <c r="J9" s="87" t="n"/>
      <c r="K9" s="88" t="n"/>
      <c r="L9" s="6" t="n"/>
      <c r="M9" s="45" t="n"/>
      <c r="N9" s="88" t="n"/>
      <c r="O9" s="6" t="n"/>
      <c r="Q9" s="42" t="inlineStr">
        <is>
          <t>RICORDATEVI:</t>
        </is>
      </c>
      <c r="R9" s="5" t="n"/>
      <c r="S9" s="5" t="n"/>
      <c r="T9" s="5" t="n"/>
      <c r="U9" s="5" t="n"/>
      <c r="V9" s="5" t="n"/>
      <c r="W9" s="5" t="n"/>
    </row>
    <row r="10">
      <c r="A10" s="36" t="inlineStr">
        <is>
          <t>CREDITI CLIENTI</t>
        </is>
      </c>
      <c r="B10" s="87" t="n"/>
      <c r="C10" s="88" t="n"/>
      <c r="D10" s="24">
        <f>L8+L9+L10+L11+L12+L13+L14+L15</f>
        <v/>
      </c>
      <c r="E10" s="53" t="n"/>
      <c r="F10" s="87" t="n"/>
      <c r="G10" s="88" t="n"/>
      <c r="H10" s="6" t="n"/>
      <c r="I10" s="45" t="n"/>
      <c r="J10" s="87" t="n"/>
      <c r="K10" s="88" t="n"/>
      <c r="L10" s="6" t="n"/>
      <c r="M10" s="45" t="n"/>
      <c r="N10" s="88" t="n"/>
      <c r="O10" s="6" t="n"/>
      <c r="Q10" s="43" t="inlineStr">
        <is>
          <t>NON DOVETE REGISTRARE IMPORTI ADBLUE SFUSO IN DANEA MA SOLO</t>
        </is>
      </c>
      <c r="R10" s="5" t="n"/>
      <c r="S10" s="5" t="n"/>
      <c r="T10" s="5" t="n"/>
      <c r="U10" s="5" t="n"/>
      <c r="V10" s="5" t="n"/>
      <c r="W10" s="5" t="n"/>
    </row>
    <row r="11">
      <c r="A11" s="67" t="inlineStr">
        <is>
          <t>TOTALE OPT</t>
        </is>
      </c>
      <c r="B11" s="87" t="n"/>
      <c r="C11" s="88" t="n"/>
      <c r="D11" s="23">
        <f>I2+J2+K2+L2+M2+N2+O2+I3+J3+K3+L3+M3+N3+O3</f>
        <v/>
      </c>
      <c r="E11" s="53" t="n"/>
      <c r="F11" s="87" t="n"/>
      <c r="G11" s="88" t="n"/>
      <c r="H11" s="6" t="n"/>
      <c r="I11" s="45" t="n"/>
      <c r="J11" s="87" t="n"/>
      <c r="K11" s="88" t="n"/>
      <c r="L11" s="6" t="n"/>
      <c r="M11" s="45" t="n"/>
      <c r="N11" s="88" t="n"/>
      <c r="O11" s="6" t="n"/>
      <c r="Q11" s="43" t="inlineStr">
        <is>
          <t>I LITRI NELLE APPOSITE CASELLE</t>
        </is>
      </c>
      <c r="R11" s="5" t="n"/>
      <c r="S11" s="5" t="n"/>
      <c r="T11" s="5" t="n"/>
      <c r="U11" s="5" t="n"/>
      <c r="V11" s="5" t="n"/>
      <c r="W11" s="5" t="n"/>
    </row>
    <row r="12">
      <c r="A12" s="50" t="inlineStr">
        <is>
          <t>TOTALE POS BANCA</t>
        </is>
      </c>
      <c r="B12" s="87" t="n"/>
      <c r="C12" s="88" t="n"/>
      <c r="D12" s="25" t="n"/>
      <c r="E12" s="53" t="n"/>
      <c r="F12" s="87" t="n"/>
      <c r="G12" s="88" t="n"/>
      <c r="H12" s="6" t="n"/>
      <c r="I12" s="45" t="n"/>
      <c r="J12" s="87" t="n"/>
      <c r="K12" s="88" t="n"/>
      <c r="L12" s="6" t="n"/>
      <c r="M12" s="45" t="n"/>
      <c r="N12" s="88" t="n"/>
      <c r="O12" s="6" t="n"/>
      <c r="Q12" s="44" t="n"/>
      <c r="R12" s="5" t="n"/>
      <c r="S12" s="5" t="n"/>
      <c r="T12" s="5" t="n"/>
      <c r="U12" s="5" t="n"/>
      <c r="V12" s="5" t="n"/>
      <c r="W12" s="5" t="n"/>
    </row>
    <row r="13">
      <c r="A13" s="93" t="inlineStr">
        <is>
          <t>TOTALE POS REG CASSA</t>
        </is>
      </c>
      <c r="B13" s="87" t="n"/>
      <c r="C13" s="88" t="n"/>
      <c r="D13" s="32">
        <f>S27+T27+U27+V27+S28+T28+U28+V28+S29+T29+U29+V29+S30+T30+U30+V30+S31+T31+U31+V31+S32+T32+U32+V32</f>
        <v/>
      </c>
      <c r="E13" s="50" t="n"/>
      <c r="F13" s="87" t="n"/>
      <c r="G13" s="88" t="n"/>
      <c r="H13" s="6" t="n"/>
      <c r="I13" s="45" t="n"/>
      <c r="J13" s="87" t="n"/>
      <c r="K13" s="88" t="n"/>
      <c r="L13" s="6" t="n"/>
      <c r="M13" s="45" t="n"/>
      <c r="N13" s="88" t="n"/>
      <c r="O13" s="6" t="n"/>
      <c r="Q13" s="44" t="n"/>
      <c r="R13" s="44" t="n"/>
      <c r="S13" s="44" t="n"/>
      <c r="T13" s="44" t="n"/>
      <c r="U13" s="44" t="n"/>
      <c r="V13" s="44" t="n"/>
      <c r="W13" s="44" t="n"/>
    </row>
    <row r="14">
      <c r="A14" s="50" t="inlineStr">
        <is>
          <t>TOTALE PAX BANCARIE</t>
        </is>
      </c>
      <c r="B14" s="87" t="n"/>
      <c r="C14" s="88" t="n"/>
      <c r="D14" s="25" t="n"/>
      <c r="E14" s="53" t="n"/>
      <c r="F14" s="87" t="n"/>
      <c r="G14" s="88" t="n"/>
      <c r="H14" s="6" t="n"/>
      <c r="I14" s="45" t="n"/>
      <c r="J14" s="87" t="n"/>
      <c r="K14" s="88" t="n"/>
      <c r="L14" s="6" t="n"/>
      <c r="M14" s="45" t="n"/>
      <c r="N14" s="88" t="n"/>
      <c r="O14" s="6" t="n"/>
      <c r="Q14" s="43" t="inlineStr">
        <is>
          <t>NON DOVETE PIU REGISTRARE GLI IMPORTI DELLE TANICHE DI ADBLUE</t>
        </is>
      </c>
      <c r="R14" s="5" t="n"/>
      <c r="S14" s="5" t="n"/>
      <c r="T14" s="5" t="n"/>
      <c r="U14" s="5" t="n"/>
      <c r="V14" s="5" t="n"/>
      <c r="W14" s="5" t="n"/>
    </row>
    <row r="15" ht="15.75" customHeight="1" thickBot="1">
      <c r="A15" s="36" t="inlineStr">
        <is>
          <t>SCONTO CARBURANTI</t>
        </is>
      </c>
      <c r="B15" s="87" t="n"/>
      <c r="C15" s="88" t="n"/>
      <c r="D15" s="23">
        <f>I5+J5+K5+L5+M5+N5+O5+I6+J6+K6+L6+M6+N6+O6</f>
        <v/>
      </c>
      <c r="E15" s="53" t="n"/>
      <c r="F15" s="87" t="n"/>
      <c r="G15" s="88" t="n"/>
      <c r="H15" s="6" t="n"/>
      <c r="I15" s="46" t="n"/>
      <c r="J15" s="85" t="n"/>
      <c r="K15" s="86" t="n"/>
      <c r="L15" s="11" t="n"/>
      <c r="M15" s="45" t="n"/>
      <c r="N15" s="88" t="n"/>
      <c r="O15" s="6" t="n"/>
      <c r="Q15" s="43" t="inlineStr">
        <is>
          <t>SOLO INSERIRE LE QUANTITA RIMANENTI E QUELLE PRECEDENTI</t>
        </is>
      </c>
      <c r="R15" s="5" t="n"/>
      <c r="S15" s="5" t="n"/>
      <c r="T15" s="5" t="n"/>
      <c r="U15" s="5" t="n"/>
      <c r="V15" s="5" t="n"/>
      <c r="W15" s="5" t="n"/>
    </row>
    <row r="16">
      <c r="A16" s="36" t="inlineStr">
        <is>
          <t>VERSAMENTO</t>
        </is>
      </c>
      <c r="B16" s="87" t="n"/>
      <c r="C16" s="88" t="n"/>
      <c r="D16" s="23">
        <f>O33</f>
        <v/>
      </c>
      <c r="E16" s="53" t="n"/>
      <c r="F16" s="87" t="n"/>
      <c r="G16" s="88" t="n"/>
      <c r="H16" s="19" t="n"/>
      <c r="I16" s="94" t="inlineStr">
        <is>
          <t>ADBLUE</t>
        </is>
      </c>
      <c r="J16" s="89" t="n"/>
      <c r="K16" s="89" t="n"/>
      <c r="L16" s="89" t="n"/>
      <c r="M16" s="89" t="n"/>
      <c r="N16" s="89" t="n"/>
      <c r="O16" s="95" t="n"/>
      <c r="Q16" s="44" t="n"/>
      <c r="R16" s="5" t="n"/>
      <c r="S16" s="5" t="n"/>
      <c r="T16" s="5" t="n"/>
      <c r="U16" s="5" t="n"/>
      <c r="V16" s="5" t="n"/>
      <c r="W16" s="5" t="n"/>
    </row>
    <row r="17" ht="15.75" customHeight="1" thickBot="1">
      <c r="A17" s="36" t="inlineStr">
        <is>
          <t>AVANZO CASSA ATTUALE</t>
        </is>
      </c>
      <c r="B17" s="87" t="n"/>
      <c r="C17" s="88" t="n"/>
      <c r="D17" s="27">
        <f>D36+I28</f>
        <v/>
      </c>
      <c r="E17" s="53" t="n"/>
      <c r="F17" s="87" t="n"/>
      <c r="G17" s="88" t="n"/>
      <c r="H17" s="19" t="n"/>
      <c r="I17" s="8" t="n">
        <v>20</v>
      </c>
      <c r="J17" s="6" t="n"/>
      <c r="K17" s="6" t="n"/>
      <c r="L17" s="6" t="n"/>
      <c r="M17" s="6" t="n"/>
      <c r="N17" s="6" t="n"/>
      <c r="O17" s="17" t="n"/>
      <c r="Q17" s="43" t="inlineStr">
        <is>
          <t xml:space="preserve">SE CI SONO AVANZI CASSA IN CASSAFORTE INSERITE NELLA CASELLA L IMPORTO </t>
        </is>
      </c>
      <c r="R17" s="5" t="n"/>
      <c r="S17" s="5" t="n"/>
      <c r="T17" s="5" t="n"/>
      <c r="U17" s="5" t="n"/>
      <c r="V17" s="5" t="n"/>
      <c r="W17" s="5" t="n"/>
    </row>
    <row r="18" ht="15.75" customHeight="1" thickBot="1">
      <c r="A18" s="54" t="inlineStr">
        <is>
          <t>TOTALE 2</t>
        </is>
      </c>
      <c r="B18" s="87" t="n"/>
      <c r="C18" s="88" t="n"/>
      <c r="D18" s="28">
        <f>D9+D10+D11+D12+D13+D14+D15+D16+D17</f>
        <v/>
      </c>
      <c r="E18" s="53" t="n"/>
      <c r="F18" s="87" t="n"/>
      <c r="G18" s="88" t="n"/>
      <c r="H18" s="19" t="n"/>
      <c r="I18" s="9" t="n"/>
      <c r="J18" s="10" t="n"/>
      <c r="K18" s="10" t="n"/>
      <c r="L18" s="10" t="n"/>
      <c r="M18" s="15" t="n"/>
      <c r="N18" s="16" t="n"/>
      <c r="O18" s="18">
        <f>I17+J17+K17+L17+M17+N17+O17+I18+J18+K18+L18+M18+N18</f>
        <v/>
      </c>
      <c r="Q18" s="43" t="inlineStr">
        <is>
          <t>IL SISTEMA LO AGGIUNGERA' AUTOMATICAMENTE ALL AVANZO CASSA</t>
        </is>
      </c>
      <c r="R18" s="5" t="n"/>
      <c r="S18" s="5" t="n"/>
      <c r="T18" s="5" t="n"/>
      <c r="U18" s="5" t="n"/>
      <c r="V18" s="5" t="n"/>
      <c r="W18" s="5" t="n"/>
    </row>
    <row r="19" ht="15.75" customHeight="1" thickBot="1">
      <c r="A19" s="48" t="inlineStr">
        <is>
          <t xml:space="preserve">DIFFERENZA </t>
        </is>
      </c>
      <c r="B19" s="91" t="n"/>
      <c r="C19" s="92" t="n"/>
      <c r="D19" s="29">
        <f>D18-D8</f>
        <v/>
      </c>
      <c r="E19" s="53" t="n"/>
      <c r="F19" s="87" t="n"/>
      <c r="G19" s="88" t="n"/>
      <c r="H19" s="6" t="n"/>
      <c r="I19" s="83" t="inlineStr">
        <is>
          <t>DATA</t>
        </is>
      </c>
      <c r="J19" s="96" t="n"/>
      <c r="K19" s="97" t="n"/>
      <c r="L19" s="47" t="inlineStr">
        <is>
          <t>CONTATORE FINALE ADBLUE</t>
        </is>
      </c>
      <c r="M19" s="96" t="n"/>
      <c r="N19" s="97" t="n"/>
      <c r="O19" s="4" t="n">
        <v>1020.5</v>
      </c>
      <c r="Q19" s="42" t="n"/>
      <c r="R19" s="5" t="n"/>
      <c r="S19" s="5" t="n"/>
      <c r="T19" s="5" t="n"/>
      <c r="U19" s="5" t="n"/>
      <c r="V19" s="5" t="n"/>
      <c r="W19" s="5" t="n"/>
    </row>
    <row r="20">
      <c r="A20" s="69" t="inlineStr">
        <is>
          <t>TELEFAX</t>
        </is>
      </c>
      <c r="B20" s="96" t="n"/>
      <c r="C20" s="96" t="n"/>
      <c r="D20" s="97" t="n"/>
      <c r="E20" s="53" t="n"/>
      <c r="F20" s="87" t="n"/>
      <c r="G20" s="88" t="n"/>
      <c r="H20" s="6" t="n"/>
      <c r="I20" s="84" t="n">
        <v>46300</v>
      </c>
      <c r="J20" s="87" t="n"/>
      <c r="K20" s="88" t="n"/>
      <c r="L20" s="51" t="inlineStr">
        <is>
          <t>CONTATORE INIZIALE ADBLUE</t>
        </is>
      </c>
      <c r="M20" s="87" t="n"/>
      <c r="N20" s="88" t="n"/>
      <c r="O20" s="1" t="n">
        <v>1000.5</v>
      </c>
      <c r="Q20" s="42" t="inlineStr">
        <is>
          <t>SE FATE OPERAZIONI CON POS ASSERVITO TENETE GLI SCONTRINI DA PARTE</t>
        </is>
      </c>
      <c r="R20" s="5" t="n"/>
      <c r="S20" s="5" t="n"/>
      <c r="T20" s="5" t="n"/>
      <c r="U20" s="5" t="n"/>
      <c r="V20" s="5" t="n"/>
      <c r="W20" s="5" t="n"/>
    </row>
    <row r="21">
      <c r="A21" s="6" t="n">
        <v>1.5</v>
      </c>
      <c r="B21" s="6" t="n"/>
      <c r="C21" s="6" t="n"/>
      <c r="D21" s="6" t="n"/>
      <c r="E21" s="53" t="n"/>
      <c r="F21" s="87" t="n"/>
      <c r="G21" s="88" t="n"/>
      <c r="H21" s="6" t="n"/>
      <c r="I21" s="73" t="inlineStr">
        <is>
          <t>TURNO</t>
        </is>
      </c>
      <c r="J21" s="87" t="n"/>
      <c r="K21" s="88" t="n"/>
      <c r="L21" s="37" t="inlineStr">
        <is>
          <t>LITRI EROGATI</t>
        </is>
      </c>
      <c r="M21" s="87" t="n"/>
      <c r="N21" s="88" t="n"/>
      <c r="O21" s="13">
        <f>O19-O20</f>
        <v/>
      </c>
      <c r="Q21" s="42" t="inlineStr">
        <is>
          <t xml:space="preserve">A FINE TURNO IN UNA CASELLA DI CREDITI CLIENTI SCRIVETE ASSERVITO </t>
        </is>
      </c>
      <c r="R21" s="5" t="n"/>
      <c r="S21" s="5" t="n"/>
      <c r="T21" s="5" t="n"/>
      <c r="U21" s="5" t="n"/>
      <c r="V21" s="5" t="n"/>
      <c r="W21" s="5" t="n"/>
    </row>
    <row r="22">
      <c r="A22" s="6" t="n"/>
      <c r="B22" s="6" t="n"/>
      <c r="C22" s="6" t="n"/>
      <c r="D22" s="6" t="n"/>
      <c r="E22" s="53" t="n"/>
      <c r="F22" s="87" t="n"/>
      <c r="G22" s="88" t="n"/>
      <c r="H22" s="6" t="n"/>
      <c r="I22" s="73" t="inlineStr">
        <is>
          <t>NOTTE</t>
        </is>
      </c>
      <c r="J22" s="87" t="n"/>
      <c r="K22" s="88" t="n"/>
      <c r="L22" s="82" t="inlineStr">
        <is>
          <t>DIFFERENZA</t>
        </is>
      </c>
      <c r="M22" s="98" t="n"/>
      <c r="N22" s="99" t="n"/>
      <c r="O22" s="13">
        <f>O18-O21</f>
        <v/>
      </c>
      <c r="Q22" s="42" t="inlineStr">
        <is>
          <t>E INSERITE LA SOMMA DEGLI SCONTRINI FATTI CON IL PòOS ASSERVITO</t>
        </is>
      </c>
      <c r="R22" s="5" t="n"/>
      <c r="S22" s="5" t="n"/>
      <c r="T22" s="5" t="n"/>
      <c r="U22" s="5" t="n"/>
      <c r="V22" s="5" t="n"/>
      <c r="W22" s="5" t="n"/>
    </row>
    <row r="23">
      <c r="A23" s="6" t="n"/>
      <c r="B23" s="6" t="n"/>
      <c r="C23" s="6" t="n"/>
      <c r="D23" s="6" t="n"/>
      <c r="E23" s="53" t="n"/>
      <c r="F23" s="87" t="n"/>
      <c r="G23" s="88" t="n"/>
      <c r="H23" s="6" t="n"/>
      <c r="I23" s="73" t="inlineStr">
        <is>
          <t>ORA CHIUSURA</t>
        </is>
      </c>
      <c r="J23" s="87" t="n"/>
      <c r="K23" s="88" t="n"/>
      <c r="L23" s="38" t="inlineStr">
        <is>
          <t>VERSAMENTO</t>
        </is>
      </c>
      <c r="M23" s="87" t="n"/>
      <c r="N23" s="87" t="n"/>
      <c r="O23" s="88" t="n"/>
    </row>
    <row r="24">
      <c r="A24" s="6" t="n"/>
      <c r="B24" s="6" t="n"/>
      <c r="C24" s="6" t="n"/>
      <c r="D24" s="6" t="n"/>
      <c r="E24" s="53" t="n"/>
      <c r="F24" s="87" t="n"/>
      <c r="G24" s="88" t="n"/>
      <c r="H24" s="6" t="n"/>
      <c r="I24" s="74" t="n"/>
      <c r="J24" s="87" t="n"/>
      <c r="K24" s="88" t="n"/>
      <c r="L24" s="1" t="inlineStr">
        <is>
          <t>TAGLIO</t>
        </is>
      </c>
      <c r="M24" s="2" t="n">
        <v>500</v>
      </c>
      <c r="N24" s="1" t="n"/>
      <c r="O24" s="13">
        <f>M24*N24</f>
        <v/>
      </c>
    </row>
    <row r="25">
      <c r="A25" s="6" t="n"/>
      <c r="B25" s="6" t="n"/>
      <c r="C25" s="6" t="n"/>
      <c r="D25" s="6" t="n"/>
      <c r="E25" s="53" t="n"/>
      <c r="F25" s="87" t="n"/>
      <c r="G25" s="88" t="n"/>
      <c r="H25" s="6" t="n"/>
      <c r="I25" s="73" t="inlineStr">
        <is>
          <t>OPERATORE</t>
        </is>
      </c>
      <c r="J25" s="87" t="n"/>
      <c r="K25" s="88" t="n"/>
      <c r="L25" s="45" t="n"/>
      <c r="M25" s="2" t="n">
        <v>200</v>
      </c>
      <c r="N25" s="1" t="n"/>
      <c r="O25" s="13">
        <f>M25*N25</f>
        <v/>
      </c>
    </row>
    <row r="26">
      <c r="A26" s="38" t="inlineStr">
        <is>
          <t>CALCOLO AVANZO CASSA ATTUALE</t>
        </is>
      </c>
      <c r="B26" s="87" t="n"/>
      <c r="C26" s="87" t="n"/>
      <c r="D26" s="88" t="n"/>
      <c r="E26" s="53" t="n"/>
      <c r="F26" s="87" t="n"/>
      <c r="G26" s="88" t="n"/>
      <c r="H26" s="6" t="n"/>
      <c r="I26" s="45" t="n"/>
      <c r="J26" s="87" t="n"/>
      <c r="K26" s="88" t="n"/>
      <c r="L26" s="100" t="n"/>
      <c r="M26" s="2" t="n">
        <v>100</v>
      </c>
      <c r="N26" s="1" t="n"/>
      <c r="O26" s="13">
        <f>M26*N26</f>
        <v/>
      </c>
      <c r="S26" s="75" t="inlineStr">
        <is>
          <t>SCONTRINI POS REGISTRATORE CASSA</t>
        </is>
      </c>
      <c r="T26" s="87" t="n"/>
      <c r="U26" s="87" t="n"/>
      <c r="V26" s="88" t="n"/>
    </row>
    <row r="27">
      <c r="A27" s="1" t="inlineStr">
        <is>
          <t>TAGLIO</t>
        </is>
      </c>
      <c r="B27" s="2" t="n">
        <v>500</v>
      </c>
      <c r="C27" s="1" t="n"/>
      <c r="D27" s="13">
        <f>B27*C27</f>
        <v/>
      </c>
      <c r="E27" s="53" t="n"/>
      <c r="F27" s="87" t="n"/>
      <c r="G27" s="88" t="n"/>
      <c r="H27" s="6" t="n"/>
      <c r="I27" s="38" t="inlineStr">
        <is>
          <t>IN CASSAFORTE</t>
        </is>
      </c>
      <c r="J27" s="87" t="n"/>
      <c r="K27" s="88" t="n"/>
      <c r="L27" s="100" t="n"/>
      <c r="M27" s="2" t="n">
        <v>50</v>
      </c>
      <c r="N27" s="1" t="n"/>
      <c r="O27" s="13">
        <f>M27*N27</f>
        <v/>
      </c>
      <c r="S27" s="31" t="n">
        <v>26</v>
      </c>
      <c r="T27" s="31" t="n">
        <v>6</v>
      </c>
      <c r="U27" s="31" t="n">
        <v>4</v>
      </c>
      <c r="V27" s="31" t="n">
        <v>1.5</v>
      </c>
    </row>
    <row r="28">
      <c r="A28" s="45" t="n"/>
      <c r="B28" s="2" t="n">
        <v>200</v>
      </c>
      <c r="C28" s="1" t="n"/>
      <c r="D28" s="13">
        <f>B28*C28</f>
        <v/>
      </c>
      <c r="E28" s="53" t="n"/>
      <c r="F28" s="87" t="n"/>
      <c r="G28" s="88" t="n"/>
      <c r="H28" s="6" t="n"/>
      <c r="I28" s="45" t="n">
        <v>20</v>
      </c>
      <c r="J28" s="87" t="n"/>
      <c r="K28" s="88" t="n"/>
      <c r="L28" s="100" t="n"/>
      <c r="M28" s="2" t="n">
        <v>20</v>
      </c>
      <c r="N28" s="1" t="n"/>
      <c r="O28" s="13">
        <f>M28*N28</f>
        <v/>
      </c>
      <c r="S28" s="31" t="n"/>
      <c r="T28" s="31" t="n"/>
      <c r="U28" s="31" t="n"/>
      <c r="V28" s="31" t="n"/>
    </row>
    <row r="29">
      <c r="A29" s="100" t="n"/>
      <c r="B29" s="2" t="n">
        <v>100</v>
      </c>
      <c r="C29" s="1" t="n"/>
      <c r="D29" s="13">
        <f>B29*C29</f>
        <v/>
      </c>
      <c r="E29" s="53" t="n"/>
      <c r="F29" s="87" t="n"/>
      <c r="G29" s="88" t="n"/>
      <c r="H29" s="6" t="n"/>
      <c r="I29" s="38" t="inlineStr">
        <is>
          <t>TANICHE ADBLUE</t>
        </is>
      </c>
      <c r="J29" s="87" t="n"/>
      <c r="K29" s="88" t="n"/>
      <c r="L29" s="100" t="n"/>
      <c r="M29" s="2" t="n">
        <v>10</v>
      </c>
      <c r="N29" s="1" t="n"/>
      <c r="O29" s="13">
        <f>M29*N29</f>
        <v/>
      </c>
      <c r="S29" s="31" t="n"/>
      <c r="T29" s="31" t="n"/>
      <c r="U29" s="31" t="n"/>
      <c r="V29" s="31" t="n"/>
    </row>
    <row r="30">
      <c r="A30" s="100" t="n"/>
      <c r="B30" s="2" t="n">
        <v>50</v>
      </c>
      <c r="C30" s="1" t="n"/>
      <c r="D30" s="13">
        <f>B30*C30</f>
        <v/>
      </c>
      <c r="E30" s="38" t="inlineStr">
        <is>
          <t>RICARICHE STAR Q8</t>
        </is>
      </c>
      <c r="F30" s="87" t="n"/>
      <c r="G30" s="87" t="n"/>
      <c r="H30" s="88" t="n"/>
      <c r="I30" s="51" t="inlineStr">
        <is>
          <t>PRECEDENTI</t>
        </is>
      </c>
      <c r="J30" s="88" t="n"/>
      <c r="K30" s="51" t="n">
        <v>10</v>
      </c>
      <c r="L30" s="101" t="n"/>
      <c r="M30" s="2" t="n">
        <v>5</v>
      </c>
      <c r="N30" s="1" t="n"/>
      <c r="O30" s="13">
        <f>M30*N30</f>
        <v/>
      </c>
      <c r="S30" s="31" t="n"/>
      <c r="T30" s="31" t="n"/>
      <c r="U30" s="31" t="n"/>
      <c r="V30" s="31" t="n"/>
    </row>
    <row r="31">
      <c r="A31" s="100" t="n"/>
      <c r="B31" s="2" t="n">
        <v>20</v>
      </c>
      <c r="C31" s="1" t="n"/>
      <c r="D31" s="13">
        <f>B31*C31</f>
        <v/>
      </c>
      <c r="E31" s="6" t="n"/>
      <c r="F31" s="6" t="n"/>
      <c r="G31" s="6" t="n"/>
      <c r="H31" s="6" t="n"/>
      <c r="I31" s="51" t="inlineStr">
        <is>
          <t>ATTUALI</t>
        </is>
      </c>
      <c r="J31" s="88" t="n"/>
      <c r="K31" s="51" t="n">
        <v>9</v>
      </c>
      <c r="L31" s="45" t="inlineStr">
        <is>
          <t>ASSEGNI</t>
        </is>
      </c>
      <c r="M31" s="87" t="n"/>
      <c r="N31" s="88" t="n"/>
      <c r="O31" s="6" t="n"/>
      <c r="S31" s="31" t="n"/>
      <c r="T31" s="31" t="n"/>
      <c r="U31" s="31" t="n"/>
      <c r="V31" s="31" t="n"/>
    </row>
    <row r="32">
      <c r="A32" s="100" t="n"/>
      <c r="B32" s="2" t="n">
        <v>10</v>
      </c>
      <c r="C32" s="1" t="n"/>
      <c r="D32" s="13">
        <f>B32*C32</f>
        <v/>
      </c>
      <c r="E32" s="6" t="n"/>
      <c r="F32" s="6" t="n"/>
      <c r="G32" s="6" t="n"/>
      <c r="H32" s="6" t="n"/>
      <c r="I32" s="55" t="inlineStr">
        <is>
          <t>VENDUTE</t>
        </is>
      </c>
      <c r="J32" s="88" t="n"/>
      <c r="K32" s="7">
        <f>K30-K31</f>
        <v/>
      </c>
      <c r="L32" s="45" t="inlineStr">
        <is>
          <t>ASSEGNI</t>
        </is>
      </c>
      <c r="M32" s="87" t="n"/>
      <c r="N32" s="88" t="n"/>
      <c r="O32" s="6" t="n"/>
      <c r="S32" s="31" t="n"/>
      <c r="T32" s="31" t="n"/>
      <c r="U32" s="31" t="n"/>
      <c r="V32" s="31" t="n"/>
    </row>
    <row r="33">
      <c r="A33" s="101" t="n"/>
      <c r="B33" s="2" t="n">
        <v>5</v>
      </c>
      <c r="C33" s="1" t="n"/>
      <c r="D33" s="13">
        <f>B33*C33</f>
        <v/>
      </c>
      <c r="E33" s="6" t="n"/>
      <c r="F33" s="6" t="n"/>
      <c r="G33" s="6" t="n"/>
      <c r="H33" s="6" t="n"/>
      <c r="I33" s="51" t="inlineStr">
        <is>
          <t>LUBRIFICANTI</t>
        </is>
      </c>
      <c r="J33" s="88" t="n"/>
      <c r="K33" s="51" t="n"/>
      <c r="L33" s="55" t="inlineStr">
        <is>
          <t>TOTALE</t>
        </is>
      </c>
      <c r="M33" s="87" t="n"/>
      <c r="N33" s="88" t="n"/>
      <c r="O33" s="13">
        <f>O24+O25+O26+O27+O28+O29+O30+O31+O32</f>
        <v/>
      </c>
    </row>
    <row r="34">
      <c r="A34" s="37" t="inlineStr">
        <is>
          <t>SPICCIOLI CASSETTO</t>
        </is>
      </c>
      <c r="B34" s="87" t="n"/>
      <c r="C34" s="88" t="n"/>
      <c r="D34" s="6" t="n">
        <v>130.5</v>
      </c>
      <c r="E34" s="55" t="inlineStr">
        <is>
          <t>IMPORTO TANICHE ADBLUE</t>
        </is>
      </c>
      <c r="F34" s="87" t="n"/>
      <c r="G34" s="88" t="n"/>
      <c r="H34" s="20">
        <f>(K32)*(26)</f>
        <v/>
      </c>
      <c r="I34" s="51" t="inlineStr">
        <is>
          <t>CARTE ATTIVATE</t>
        </is>
      </c>
      <c r="J34" s="88" t="n"/>
      <c r="K34" s="51" t="n"/>
      <c r="L34" s="51" t="inlineStr">
        <is>
          <t xml:space="preserve">DATA </t>
        </is>
      </c>
      <c r="M34" s="87" t="n"/>
      <c r="N34" s="87" t="n"/>
      <c r="O34" s="88" t="n"/>
    </row>
    <row r="35">
      <c r="A35" s="37" t="inlineStr">
        <is>
          <t>SPICCIOLI BORSA</t>
        </is>
      </c>
      <c r="B35" s="87" t="n"/>
      <c r="C35" s="88" t="n"/>
      <c r="D35" s="6" t="n"/>
      <c r="E35" s="55" t="inlineStr">
        <is>
          <t>IMPORTO ADBLUE SFUSO</t>
        </is>
      </c>
      <c r="F35" s="87" t="n"/>
      <c r="G35" s="88" t="n"/>
      <c r="H35" s="20">
        <f>(O18)*(1.3)</f>
        <v/>
      </c>
      <c r="I35" s="45" t="n"/>
      <c r="J35" s="85" t="n"/>
      <c r="K35" s="86" t="n"/>
      <c r="L35" s="51" t="inlineStr">
        <is>
          <t xml:space="preserve">OPERATORE </t>
        </is>
      </c>
      <c r="M35" s="88" t="n"/>
      <c r="N35" s="45" t="n"/>
      <c r="O35" s="88" t="n"/>
    </row>
    <row r="36">
      <c r="A36" s="55" t="inlineStr">
        <is>
          <t xml:space="preserve">TOTALE AVANZO CASSA </t>
        </is>
      </c>
      <c r="B36" s="87" t="n"/>
      <c r="C36" s="88" t="n"/>
      <c r="D36" s="13">
        <f>D27+D28+D29+D30+D31+D32+D33+D34+D35</f>
        <v/>
      </c>
      <c r="E36" s="55" t="inlineStr">
        <is>
          <t>TOTALE IMPORTO DANEA</t>
        </is>
      </c>
      <c r="F36" s="87" t="n"/>
      <c r="G36" s="88" t="n"/>
      <c r="H36" s="12">
        <f>D4</f>
        <v/>
      </c>
      <c r="I36" s="102" t="n"/>
      <c r="J36" s="96" t="n"/>
      <c r="K36" s="97" t="n"/>
      <c r="L36" s="51" t="inlineStr">
        <is>
          <t>TURNO</t>
        </is>
      </c>
      <c r="M36" s="88" t="n"/>
      <c r="N36" s="75" t="n"/>
      <c r="O36" s="88" t="n"/>
    </row>
    <row r="38">
      <c r="A38" s="72" t="inlineStr">
        <is>
          <t>NOTE: SCIRVETE NELLE RIGHE SOTTO MESSAGGI  CHE RIGUARDANO PROBLEMI PAGAMENTI ECC..</t>
        </is>
      </c>
      <c r="B38" s="87" t="n"/>
      <c r="C38" s="87" t="n"/>
      <c r="D38" s="87" t="n"/>
      <c r="E38" s="87" t="n"/>
      <c r="F38" s="87" t="n"/>
      <c r="G38" s="87" t="n"/>
      <c r="H38" s="87" t="n"/>
      <c r="I38" s="87" t="n"/>
      <c r="J38" s="87" t="n"/>
      <c r="K38" s="87" t="n"/>
      <c r="L38" s="87" t="n"/>
      <c r="M38" s="87" t="n"/>
      <c r="N38" s="87" t="n"/>
      <c r="O38" s="88" t="n"/>
    </row>
    <row r="39">
      <c r="A39" s="75" t="n"/>
      <c r="B39" s="87" t="n"/>
      <c r="C39" s="87" t="n"/>
      <c r="D39" s="87" t="n"/>
      <c r="E39" s="87" t="n"/>
      <c r="F39" s="87" t="n"/>
      <c r="G39" s="87" t="n"/>
      <c r="H39" s="87" t="n"/>
      <c r="I39" s="87" t="n"/>
      <c r="J39" s="87" t="n"/>
      <c r="K39" s="87" t="n"/>
      <c r="L39" s="87" t="n"/>
      <c r="M39" s="87" t="n"/>
      <c r="N39" s="87" t="n"/>
      <c r="O39" s="88" t="n"/>
    </row>
    <row r="40">
      <c r="A40" s="75" t="n"/>
      <c r="B40" s="87" t="n"/>
      <c r="C40" s="87" t="n"/>
      <c r="D40" s="87" t="n"/>
      <c r="E40" s="87" t="n"/>
      <c r="F40" s="87" t="n"/>
      <c r="G40" s="87" t="n"/>
      <c r="H40" s="87" t="n"/>
      <c r="I40" s="87" t="n"/>
      <c r="J40" s="87" t="n"/>
      <c r="K40" s="87" t="n"/>
      <c r="L40" s="87" t="n"/>
      <c r="M40" s="87" t="n"/>
      <c r="N40" s="87" t="n"/>
      <c r="O40" s="88" t="n"/>
    </row>
    <row r="41">
      <c r="A41" s="75" t="n"/>
      <c r="B41" s="87" t="n"/>
      <c r="C41" s="87" t="n"/>
      <c r="D41" s="87" t="n"/>
      <c r="E41" s="87" t="n"/>
      <c r="F41" s="87" t="n"/>
      <c r="G41" s="87" t="n"/>
      <c r="H41" s="87" t="n"/>
      <c r="I41" s="87" t="n"/>
      <c r="J41" s="87" t="n"/>
      <c r="K41" s="87" t="n"/>
      <c r="L41" s="87" t="n"/>
      <c r="M41" s="87" t="n"/>
      <c r="N41" s="87" t="n"/>
      <c r="O41" s="8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cE/+kWZ7EFkIIVZ/h0wnw==" formatRows="1" sort="1" spinCount="100000" hashValue="bMdGhsubxGVrR0WW4BdI/Lx9DK+lS97iHujaGAWatoAst2JpFlZ4t4/6d/ZHKo7ZBwCkRomhva90phUqer4h/Q=="/>
  <mergeCells count="132">
    <mergeCell ref="L33:N33"/>
    <mergeCell ref="Q9:W9"/>
    <mergeCell ref="E13:G13"/>
    <mergeCell ref="A20:D20"/>
    <mergeCell ref="L34:O34"/>
    <mergeCell ref="Q17:W17"/>
    <mergeCell ref="Q11:W11"/>
    <mergeCell ref="E15:G15"/>
    <mergeCell ref="I24:K24"/>
    <mergeCell ref="M10:N10"/>
    <mergeCell ref="I8:K8"/>
    <mergeCell ref="E26:G26"/>
    <mergeCell ref="E7:G7"/>
    <mergeCell ref="E16:G16"/>
    <mergeCell ref="I10:K10"/>
    <mergeCell ref="A38:O38"/>
    <mergeCell ref="E18:G18"/>
    <mergeCell ref="A34:C34"/>
    <mergeCell ref="A40:O40"/>
    <mergeCell ref="M8:N8"/>
    <mergeCell ref="L32:N32"/>
    <mergeCell ref="A6:C6"/>
    <mergeCell ref="E35:G35"/>
    <mergeCell ref="Q15:W15"/>
    <mergeCell ref="E20:G20"/>
    <mergeCell ref="I30:J30"/>
    <mergeCell ref="E28:G28"/>
    <mergeCell ref="N35:O35"/>
    <mergeCell ref="I22:K22"/>
    <mergeCell ref="I28:K28"/>
    <mergeCell ref="A3:C3"/>
    <mergeCell ref="I12:K12"/>
    <mergeCell ref="A12:C12"/>
    <mergeCell ref="I21:K21"/>
    <mergeCell ref="E6:G6"/>
    <mergeCell ref="A5:C5"/>
    <mergeCell ref="I14:K14"/>
    <mergeCell ref="I32:J32"/>
    <mergeCell ref="A14:C14"/>
    <mergeCell ref="I23:K23"/>
    <mergeCell ref="A4:C4"/>
    <mergeCell ref="M13:N13"/>
    <mergeCell ref="A13:C13"/>
    <mergeCell ref="I33:J33"/>
    <mergeCell ref="I7:L7"/>
    <mergeCell ref="L25:L30"/>
    <mergeCell ref="A15:C15"/>
    <mergeCell ref="Q5:W5"/>
    <mergeCell ref="Q20:W20"/>
    <mergeCell ref="Q14:W14"/>
    <mergeCell ref="E24:G24"/>
    <mergeCell ref="I27:K27"/>
    <mergeCell ref="A26:D26"/>
    <mergeCell ref="E8:G8"/>
    <mergeCell ref="E17:G17"/>
    <mergeCell ref="A7:C7"/>
    <mergeCell ref="Q6:W6"/>
    <mergeCell ref="A16:C16"/>
    <mergeCell ref="E1:G1"/>
    <mergeCell ref="I25:K25"/>
    <mergeCell ref="E10:G10"/>
    <mergeCell ref="I1:O1"/>
    <mergeCell ref="E19:G19"/>
    <mergeCell ref="A41:O41"/>
    <mergeCell ref="I35:K36"/>
    <mergeCell ref="A18:C18"/>
    <mergeCell ref="E34:G34"/>
    <mergeCell ref="E9:G9"/>
    <mergeCell ref="M9:N9"/>
    <mergeCell ref="A2:C2"/>
    <mergeCell ref="E2:G2"/>
    <mergeCell ref="E36:G36"/>
    <mergeCell ref="M11:N11"/>
    <mergeCell ref="E11:G11"/>
    <mergeCell ref="Q7:W7"/>
    <mergeCell ref="Q16:W16"/>
    <mergeCell ref="I20:K20"/>
    <mergeCell ref="I29:K29"/>
    <mergeCell ref="Q18:W18"/>
    <mergeCell ref="L35:M35"/>
    <mergeCell ref="E22:G22"/>
    <mergeCell ref="M15:N15"/>
    <mergeCell ref="I13:K13"/>
    <mergeCell ref="M12:N12"/>
    <mergeCell ref="Q8:W8"/>
    <mergeCell ref="E12:G12"/>
    <mergeCell ref="E21:G21"/>
    <mergeCell ref="I15:K15"/>
    <mergeCell ref="A39:O39"/>
    <mergeCell ref="Q10:W10"/>
    <mergeCell ref="Q19:W19"/>
    <mergeCell ref="E14:G14"/>
    <mergeCell ref="E23:G23"/>
    <mergeCell ref="L19:N19"/>
    <mergeCell ref="I26:K26"/>
    <mergeCell ref="E4:G4"/>
    <mergeCell ref="I34:J34"/>
    <mergeCell ref="Q22:W22"/>
    <mergeCell ref="I4:O4"/>
    <mergeCell ref="M7:O7"/>
    <mergeCell ref="L20:N20"/>
    <mergeCell ref="S26:V26"/>
    <mergeCell ref="E27:G27"/>
    <mergeCell ref="A8:C8"/>
    <mergeCell ref="L22:N22"/>
    <mergeCell ref="A17:C17"/>
    <mergeCell ref="L31:N31"/>
    <mergeCell ref="Q12:W12"/>
    <mergeCell ref="Q21:W21"/>
    <mergeCell ref="A35:C35"/>
    <mergeCell ref="E25:G25"/>
    <mergeCell ref="L21:N21"/>
    <mergeCell ref="A10:C10"/>
    <mergeCell ref="I19:K19"/>
    <mergeCell ref="A19:C19"/>
    <mergeCell ref="I9:K9"/>
    <mergeCell ref="A9:C9"/>
    <mergeCell ref="E3:G3"/>
    <mergeCell ref="I16:O16"/>
    <mergeCell ref="L23:O23"/>
    <mergeCell ref="I11:K11"/>
    <mergeCell ref="A36:C36"/>
    <mergeCell ref="A11:C11"/>
    <mergeCell ref="A1:C1"/>
    <mergeCell ref="E5:G5"/>
    <mergeCell ref="M14:N14"/>
    <mergeCell ref="E30:H30"/>
    <mergeCell ref="A28:A33"/>
    <mergeCell ref="I31:J31"/>
    <mergeCell ref="L36:M36"/>
    <mergeCell ref="E29:G29"/>
    <mergeCell ref="N36:O36"/>
  </mergeCells>
  <pageMargins left="0" right="0" top="0.7480314960629921" bottom="0" header="0.3149606299212598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Utente</dc:creator>
  <dcterms:created xsi:type="dcterms:W3CDTF">2026-05-31T08:46:03Z</dcterms:created>
  <dcterms:modified xsi:type="dcterms:W3CDTF">2026-10-04T21:31:13Z</dcterms:modified>
  <cp:lastModifiedBy>pv460</cp:lastModifiedBy>
</cp:coreProperties>
</file>